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_physical" sheetId="2" state="visible" r:id="rId2"/>
    <sheet name="1_species" sheetId="3" state="visible" r:id="rId3"/>
    <sheet name="2_model1_gel" sheetId="4" state="visible" r:id="rId4"/>
    <sheet name="3_model2_tissue" sheetId="5" state="visible" r:id="rId5"/>
    <sheet name="4_model3_MD2" sheetId="6" state="visible" r:id="rId6"/>
    <sheet name="5_model4_signaling" sheetId="7" state="visible" r:id="rId7"/>
    <sheet name="6_model5_NO" sheetId="8" state="visible" r:id="rId8"/>
    <sheet name="7_model6_closure" sheetId="9" state="visible" r:id="rId9"/>
    <sheet name="8_model7_design" sheetId="10" state="visible" r:id="rId10"/>
    <sheet name="9_legacy_sens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79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2" customWidth="1" min="4" max="4"/>
    <col width="40" customWidth="1" min="5" max="5"/>
  </cols>
  <sheetData>
    <row r="1">
      <c r="A1" t="inlineStr">
        <is>
          <t>Constant register - HKU iGEM 2026 dual-release wound patch (V3 model)</t>
        </is>
      </c>
      <c r="C1" t="inlineStr">
        <is>
          <t>Generated from: igem_newest_long_version.pdf (V3, Oct 8 2026) + iGem Parameter Table (1).pdf</t>
        </is>
      </c>
      <c r="E1" t="inlineStr">
        <is>
          <t>Tier legend:</t>
        </is>
      </c>
      <c r="F1" t="inlineStr">
        <is>
          <t>T1 = measured in house</t>
        </is>
      </c>
      <c r="G1" t="inlineStr">
        <is>
          <t>T2 = mechanistic correlation</t>
        </is>
      </c>
      <c r="H1" t="inlineStr">
        <is>
          <t>T3 = named literature analogue</t>
        </is>
      </c>
      <c r="I1" t="inlineStr">
        <is>
          <t>T4 = order-of-magnitude prior</t>
        </is>
      </c>
      <c r="J1" t="inlineStr">
        <is>
          <t>D = derived from other entries</t>
        </is>
      </c>
      <c r="K1" t="inlineStr">
        <is>
          <t>L = locked design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Body temperature</t>
        </is>
      </c>
      <c r="B2" s="2" t="inlineStr">
        <is>
          <t>T_body</t>
        </is>
      </c>
      <c r="C2" s="2" t="n">
        <v>310</v>
      </c>
      <c r="D2" s="2" t="inlineStr">
        <is>
          <t>K</t>
        </is>
      </c>
      <c r="E2" s="2" t="inlineStr">
        <is>
          <t>D</t>
        </is>
      </c>
      <c r="F2" s="2" t="inlineStr">
        <is>
          <t>-</t>
        </is>
      </c>
      <c r="G2" s="2" t="inlineStr">
        <is>
          <t>37 C; enters Stokes-Einstein</t>
        </is>
      </c>
    </row>
    <row r="3">
      <c r="A3" s="2" t="inlineStr">
        <is>
          <t>Boltzmann constant</t>
        </is>
      </c>
      <c r="B3" s="2" t="inlineStr">
        <is>
          <t>k_B</t>
        </is>
      </c>
      <c r="C3" s="2" t="n">
        <v>1.380649e-23</v>
      </c>
      <c r="D3" s="2" t="inlineStr">
        <is>
          <t>J/K</t>
        </is>
      </c>
      <c r="E3" s="2" t="inlineStr">
        <is>
          <t>D</t>
        </is>
      </c>
      <c r="F3" s="2" t="inlineStr">
        <is>
          <t>SI definition</t>
        </is>
      </c>
      <c r="G3" s="2" t="inlineStr"/>
    </row>
    <row r="4">
      <c r="A4" s="2" t="inlineStr">
        <is>
          <t>Water viscosity at 37 C</t>
        </is>
      </c>
      <c r="B4" s="2" t="inlineStr">
        <is>
          <t>eta</t>
        </is>
      </c>
      <c r="C4" s="2" t="n">
        <v>0.00069</v>
      </c>
      <c r="D4" s="2" t="inlineStr">
        <is>
          <t>Pa s</t>
        </is>
      </c>
      <c r="E4" s="2" t="inlineStr">
        <is>
          <t>T3</t>
        </is>
      </c>
      <c r="F4" s="2" t="inlineStr">
        <is>
          <t>https://wiki.anton-paar.com/cn-cn/water/</t>
        </is>
      </c>
      <c r="G4" s="2" t="inlineStr">
        <is>
          <t>parameter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MW V14</t>
        </is>
      </c>
      <c r="B2" s="2" t="inlineStr">
        <is>
          <t>M_V14</t>
        </is>
      </c>
      <c r="C2" s="2" t="n">
        <v>1355.59</v>
      </c>
      <c r="D2" s="2" t="inlineStr">
        <is>
          <t>Da</t>
        </is>
      </c>
      <c r="E2" s="2" t="inlineStr">
        <is>
          <t>T1</t>
        </is>
      </c>
      <c r="F2" s="2" t="inlineStr">
        <is>
          <t>https://web.expasy.org/protparam/</t>
        </is>
      </c>
      <c r="G2" s="2" t="inlineStr">
        <is>
          <t>parameter table; SVQELLELLAAGL</t>
        </is>
      </c>
    </row>
    <row r="3">
      <c r="A3" s="2" t="inlineStr">
        <is>
          <t>MW FGF2-G3</t>
        </is>
      </c>
      <c r="B3" s="2" t="inlineStr">
        <is>
          <t>M_FGF2G3</t>
        </is>
      </c>
      <c r="C3" s="2" t="n">
        <v>16487.87</v>
      </c>
      <c r="D3" s="2" t="inlineStr">
        <is>
          <t>Da</t>
        </is>
      </c>
      <c r="E3" s="2" t="inlineStr">
        <is>
          <t>T1</t>
        </is>
      </c>
      <c r="F3" s="2" t="inlineStr">
        <is>
          <t>https://web.expasy.org/protparam/</t>
        </is>
      </c>
      <c r="G3" s="2" t="inlineStr">
        <is>
          <t>parameter table; Addgene/ExPASy</t>
        </is>
      </c>
    </row>
    <row r="4">
      <c r="A4" s="2" t="inlineStr">
        <is>
          <t>Hydrodynamic radius V14</t>
        </is>
      </c>
      <c r="B4" s="2" t="inlineStr">
        <is>
          <t>Rh_V14</t>
        </is>
      </c>
      <c r="C4" s="2" t="n">
        <v>0.73</v>
      </c>
      <c r="D4" s="2" t="inlineStr">
        <is>
          <t>nm</t>
        </is>
      </c>
      <c r="E4" s="2" t="inlineStr">
        <is>
          <t>T2</t>
        </is>
      </c>
      <c r="F4" s="2" t="inlineStr">
        <is>
          <t>parameter table</t>
        </is>
      </c>
      <c r="G4" s="2" t="inlineStr">
        <is>
          <t>globular-volume equivalent; doc correlation 0.87 nm is the sensitivity bound</t>
        </is>
      </c>
    </row>
    <row r="5">
      <c r="A5" s="2" t="inlineStr">
        <is>
          <t>Hydrodynamic radius FGF2-G3</t>
        </is>
      </c>
      <c r="B5" s="2" t="inlineStr">
        <is>
          <t>Rh_FGF2G3</t>
        </is>
      </c>
      <c r="C5" s="2" t="n">
        <v>1.68</v>
      </c>
      <c r="D5" s="2" t="inlineStr">
        <is>
          <t>nm</t>
        </is>
      </c>
      <c r="E5" s="2" t="inlineStr">
        <is>
          <t>T2</t>
        </is>
      </c>
      <c r="F5" s="2" t="inlineStr">
        <is>
          <t>parameter table</t>
        </is>
      </c>
      <c r="G5" s="2" t="inlineStr">
        <is>
          <t>doc correlation 2.34 nm is the sensitivity bound</t>
        </is>
      </c>
    </row>
    <row r="6">
      <c r="A6" s="2" t="inlineStr">
        <is>
          <t>Free diffusivity V14 (37 C)</t>
        </is>
      </c>
      <c r="B6" s="2" t="inlineStr">
        <is>
          <t>D0_V</t>
        </is>
      </c>
      <c r="C6" s="2" t="n">
        <v>4.5e-06</v>
      </c>
      <c r="D6" s="2" t="inlineStr">
        <is>
          <t>cm2/s</t>
        </is>
      </c>
      <c r="E6" s="2" t="inlineStr">
        <is>
          <t>D</t>
        </is>
      </c>
      <c r="F6" s="2" t="inlineStr">
        <is>
          <t>Stokes-Einstein from Rh_V14, eta</t>
        </is>
      </c>
      <c r="G6" s="2" t="inlineStr">
        <is>
          <t>doc correlation routes give 3.6e-6 (band 2.5-4.5e-6); discrepancy carried as sensitivity</t>
        </is>
      </c>
    </row>
    <row r="7">
      <c r="A7" s="2" t="inlineStr">
        <is>
          <t>Free diffusivity FGF2-G3 (37 C)</t>
        </is>
      </c>
      <c r="B7" s="2" t="inlineStr">
        <is>
          <t>D0_F</t>
        </is>
      </c>
      <c r="C7" s="2" t="n">
        <v>2e-06</v>
      </c>
      <c r="D7" s="2" t="inlineStr">
        <is>
          <t>cm2/s</t>
        </is>
      </c>
      <c r="E7" s="2" t="inlineStr">
        <is>
          <t>D</t>
        </is>
      </c>
      <c r="F7" s="2" t="inlineStr">
        <is>
          <t>Stokes-Einstein from Rh_FGF2G3, eta</t>
        </is>
      </c>
      <c r="G7" s="2" t="inlineStr">
        <is>
          <t>doc correlation 1.5e-6 (band 1.3-1.7e-6)</t>
        </is>
      </c>
    </row>
    <row r="8">
      <c r="A8" s="2" t="inlineStr">
        <is>
          <t>V14 half-life (gel/tissue)</t>
        </is>
      </c>
      <c r="B8" s="2" t="inlineStr">
        <is>
          <t>t_half_V14</t>
        </is>
      </c>
      <c r="C8" s="2" t="n">
        <v>6.1</v>
      </c>
      <c r="D8" s="2" t="inlineStr">
        <is>
          <t>h</t>
        </is>
      </c>
      <c r="E8" s="2" t="inlineStr">
        <is>
          <t>T4</t>
        </is>
      </c>
      <c r="F8" s="2" t="inlineStr">
        <is>
          <t>in-house serum regression (Cavaco); https://web.expasy.org/protparam/</t>
        </is>
      </c>
      <c r="G8" s="2" t="inlineStr">
        <is>
          <t>TABLE BLANK - closest usable value: serum t1/2 proxy for MMP/elastase proteolysis; ExPASy N-end rule 1.9 h (mammalian reticulocyte, intracellular) is a lower bound, not tissue proteolysis</t>
        </is>
      </c>
    </row>
    <row r="9">
      <c r="A9" s="2" t="inlineStr">
        <is>
          <t>FGF2-G3 half-life (37 C)</t>
        </is>
      </c>
      <c r="B9" s="2" t="inlineStr">
        <is>
          <t>t_half_FGF2G3</t>
        </is>
      </c>
      <c r="C9" s="2" t="n">
        <v>168</v>
      </c>
      <c r="D9" s="2" t="inlineStr">
        <is>
          <t>h</t>
        </is>
      </c>
      <c r="E9" s="2" t="inlineStr">
        <is>
          <t>T1</t>
        </is>
      </c>
      <c r="F9" s="2" t="inlineStr">
        <is>
          <t>https://www.reprocell.com/product-catalog/qkine-growth-factors-and-cytokines/recombinant-fgf2-g3-protein-qk053</t>
        </is>
      </c>
      <c r="G9" s="2" t="inlineStr">
        <is>
          <t>parameter table; WT FGF2 ~10 h would be a ~50x error</t>
        </is>
      </c>
    </row>
    <row r="10">
      <c r="A10" s="2" t="inlineStr">
        <is>
          <t>V14 solubility ceiling (lower bound)</t>
        </is>
      </c>
      <c r="B10" s="2" t="inlineStr">
        <is>
          <t>C_solubility_V14</t>
        </is>
      </c>
      <c r="C10" s="2" t="n">
        <v>2213.1</v>
      </c>
      <c r="D10" s="2" t="inlineStr">
        <is>
          <t>uM</t>
        </is>
      </c>
      <c r="E10" s="2" t="inlineStr">
        <is>
          <t>T1</t>
        </is>
      </c>
      <c r="F10" s="2" t="inlineStr">
        <is>
          <t>team loading 3 mg/mL (2026-10-16)</t>
        </is>
      </c>
      <c r="G10" s="2" t="inlineStr">
        <is>
          <t>3 mg/mL dissolved in the casting buffer = 2213 uM; LOWER BOUND on saturation solubility (was 1 mg/mL = 738 uM, T4 assumption). Saturation not yet measured.</t>
        </is>
      </c>
    </row>
    <row r="11">
      <c r="A11" s="2" t="inlineStr">
        <is>
          <t>V14 net charge (pH 7.4)</t>
        </is>
      </c>
      <c r="B11" s="2" t="inlineStr">
        <is>
          <t>charge_V14</t>
        </is>
      </c>
      <c r="C11" s="2" t="n">
        <v>-2.02</v>
      </c>
      <c r="D11" s="2" t="inlineStr">
        <is>
          <t>-</t>
        </is>
      </c>
      <c r="E11" s="2" t="inlineStr">
        <is>
          <t>T2</t>
        </is>
      </c>
      <c r="F11" s="2" t="inlineStr">
        <is>
          <t>doc App A (Henderson-Hasselbalch)</t>
        </is>
      </c>
      <c r="G11" s="2" t="inlineStr">
        <is>
          <t>two Glu; no K/R/H</t>
        </is>
      </c>
    </row>
    <row r="12">
      <c r="A12" s="2" t="inlineStr">
        <is>
          <t>V14 pI</t>
        </is>
      </c>
      <c r="B12" s="2" t="inlineStr">
        <is>
          <t>pI_V14</t>
        </is>
      </c>
      <c r="C12" s="2" t="n">
        <v>3.48</v>
      </c>
      <c r="D12" s="2" t="inlineStr">
        <is>
          <t>-</t>
        </is>
      </c>
      <c r="E12" s="2" t="inlineStr">
        <is>
          <t>T2</t>
        </is>
      </c>
      <c r="F12" s="2" t="inlineStr">
        <is>
          <t>doc App A / ExPASy</t>
        </is>
      </c>
      <c r="G12" s="2" t="inlineStr"/>
    </row>
    <row r="13">
      <c r="A13" s="2" t="inlineStr">
        <is>
          <t>V14 GRAVY</t>
        </is>
      </c>
      <c r="B13" s="2" t="inlineStr">
        <is>
          <t>GRAVY_V14</t>
        </is>
      </c>
      <c r="C13" s="2" t="n">
        <v>1.16</v>
      </c>
      <c r="D13" s="2" t="inlineStr">
        <is>
          <t>-</t>
        </is>
      </c>
      <c r="E13" s="2" t="inlineStr">
        <is>
          <t>T2</t>
        </is>
      </c>
      <c r="F13" s="2" t="inlineStr">
        <is>
          <t>doc App A / Kyte-Doolittle</t>
        </is>
      </c>
      <c r="G13" s="2" t="inlineStr">
        <is>
          <t>strongly hydrophobic; amphipathic helix</t>
        </is>
      </c>
    </row>
    <row r="14">
      <c r="A14" s="2" t="inlineStr">
        <is>
          <t>V14 MD2 affinity</t>
        </is>
      </c>
      <c r="B14" s="2" t="inlineStr">
        <is>
          <t>KD_P</t>
        </is>
      </c>
      <c r="C14" s="2" t="n"/>
      <c r="D14" s="2" t="inlineStr">
        <is>
          <t>mol/cm3</t>
        </is>
      </c>
      <c r="E14" s="2" t="inlineStr">
        <is>
          <t>T4</t>
        </is>
      </c>
      <c r="F14" s="2" t="inlineStr">
        <is>
          <t>pending flow cytometry</t>
        </is>
      </c>
      <c r="G14" s="2" t="inlineStr">
        <is>
          <t>NOT KNOWN - no sequence method; Models 3-5 run in scaled form (psi, a, gamma)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Hydrogel thickness</t>
        </is>
      </c>
      <c r="B2" s="2" t="inlineStr">
        <is>
          <t>L_h</t>
        </is>
      </c>
      <c r="C2" s="2" t="n">
        <v>0.25</v>
      </c>
      <c r="D2" s="2" t="inlineStr">
        <is>
          <t>cm</t>
        </is>
      </c>
      <c r="E2" s="2" t="inlineStr">
        <is>
          <t>T1</t>
        </is>
      </c>
      <c r="F2" s="2" t="inlineStr">
        <is>
          <t>team (2026-10-16)</t>
        </is>
      </c>
      <c r="G2" s="2" t="inlineStr">
        <is>
          <t>as-manufactured 1% w/v Ca-alginate (100 mM CaCl2, HBS pH 7.4), 2.5 mm (was 500 um until 2026-10-16)</t>
        </is>
      </c>
    </row>
    <row r="3">
      <c r="A3" s="2" t="inlineStr">
        <is>
          <t>Hydrogel porosity</t>
        </is>
      </c>
      <c r="B3" s="2" t="inlineStr">
        <is>
          <t>eps_h</t>
        </is>
      </c>
      <c r="C3" s="2" t="n">
        <v>0.99</v>
      </c>
      <c r="D3" s="2" t="inlineStr">
        <is>
          <t>-</t>
        </is>
      </c>
      <c r="E3" s="2" t="inlineStr">
        <is>
          <t>D</t>
        </is>
      </c>
      <c r="F3" s="2" t="inlineStr">
        <is>
          <t>1% w/v polymer ~0.6% v/v</t>
        </is>
      </c>
      <c r="G3" s="2" t="inlineStr">
        <is>
          <t>replaces 5% GelMA value 0.618</t>
        </is>
      </c>
    </row>
    <row r="4">
      <c r="A4" s="2" t="inlineStr">
        <is>
          <t>Hydrogel tortuosity</t>
        </is>
      </c>
      <c r="B4" s="2" t="inlineStr">
        <is>
          <t>tau_h</t>
        </is>
      </c>
      <c r="C4" s="2" t="n">
        <v>1.005</v>
      </c>
      <c r="D4" s="2" t="inlineStr">
        <is>
          <t>-</t>
        </is>
      </c>
      <c r="E4" s="2" t="inlineStr">
        <is>
          <t>T2</t>
        </is>
      </c>
      <c r="F4" s="2" t="inlineStr">
        <is>
          <t>Bruggeman eps^(-1/2)</t>
        </is>
      </c>
      <c r="G4" s="2" t="inlineStr">
        <is>
          <t>0.99^-0.5 = 1.005; fitted from release assay later</t>
        </is>
      </c>
    </row>
    <row r="5">
      <c r="A5" s="2" t="inlineStr">
        <is>
          <t>Mesh size</t>
        </is>
      </c>
      <c r="B5" s="2" t="inlineStr">
        <is>
          <t>xi</t>
        </is>
      </c>
      <c r="C5" s="2" t="n">
        <v>14</v>
      </c>
      <c r="D5" s="2" t="inlineStr">
        <is>
          <t>nm</t>
        </is>
      </c>
      <c r="E5" s="2" t="inlineStr">
        <is>
          <t>T3</t>
        </is>
      </c>
      <c r="F5" s="2" t="inlineStr">
        <is>
          <t>https://doi.org/10.3390/molecules14083003</t>
        </is>
      </c>
      <c r="G5" s="2" t="inlineStr">
        <is>
          <t>Grassi et al. 2009, 1% Ca-alginate: 14 nm mechanical, 26 nm from release; sweep 5-50 nm kept</t>
        </is>
      </c>
    </row>
    <row r="6">
      <c r="A6" s="2" t="inlineStr">
        <is>
          <t>Polymer (alginate) chain radius</t>
        </is>
      </c>
      <c r="B6" s="2" t="inlineStr">
        <is>
          <t>a_f</t>
        </is>
      </c>
      <c r="C6" s="2" t="n">
        <v>0.6</v>
      </c>
      <c r="D6" s="2" t="inlineStr">
        <is>
          <t>nm</t>
        </is>
      </c>
      <c r="E6" s="2" t="inlineStr">
        <is>
          <t>T4</t>
        </is>
      </c>
      <c r="F6" s="2" t="inlineStr">
        <is>
          <t>Amsden obstruction scaling</t>
        </is>
      </c>
      <c r="G6" s="2" t="inlineStr">
        <is>
          <t>alginate chain radius not measured; 0.6-2 nm changes H_F by &lt;= 6%</t>
        </is>
      </c>
    </row>
    <row r="7">
      <c r="A7" s="2" t="inlineStr">
        <is>
          <t>Amsden hindrance V14</t>
        </is>
      </c>
      <c r="B7" s="2" t="inlineStr">
        <is>
          <t>H_V</t>
        </is>
      </c>
      <c r="C7" s="2" t="n">
        <v>0.976</v>
      </c>
      <c r="D7" s="2" t="inlineStr">
        <is>
          <t>-</t>
        </is>
      </c>
      <c r="E7" s="2" t="inlineStr">
        <is>
          <t>D</t>
        </is>
      </c>
      <c r="F7" s="2" t="inlineStr">
        <is>
          <t>H = exp(-pi((a_i+a_f)/(xi+2a_f))^2)</t>
        </is>
      </c>
      <c r="G7" s="2" t="inlineStr">
        <is>
          <t>at xi = 14 nm</t>
        </is>
      </c>
    </row>
    <row r="8">
      <c r="A8" s="2" t="inlineStr">
        <is>
          <t>Amsden hindrance FGF2-G3</t>
        </is>
      </c>
      <c r="B8" s="2" t="inlineStr">
        <is>
          <t>H_F</t>
        </is>
      </c>
      <c r="C8" s="2" t="n">
        <v>0.9320000000000001</v>
      </c>
      <c r="D8" s="2" t="inlineStr">
        <is>
          <t>-</t>
        </is>
      </c>
      <c r="E8" s="2" t="inlineStr">
        <is>
          <t>D</t>
        </is>
      </c>
      <c r="F8" s="2" t="inlineStr">
        <is>
          <t>same</t>
        </is>
      </c>
      <c r="G8" s="2" t="inlineStr">
        <is>
          <t>at xi = 14 nm</t>
        </is>
      </c>
    </row>
    <row r="9">
      <c r="A9" s="2" t="inlineStr">
        <is>
          <t>Effective gel diffusivity V14</t>
        </is>
      </c>
      <c r="B9" s="2" t="inlineStr">
        <is>
          <t>Deff_g_V</t>
        </is>
      </c>
      <c r="C9" s="2" t="n">
        <v>4.37e-06</v>
      </c>
      <c r="D9" s="2" t="inlineStr">
        <is>
          <t>cm2/s</t>
        </is>
      </c>
      <c r="E9" s="2" t="inlineStr">
        <is>
          <t>D</t>
        </is>
      </c>
      <c r="F9" s="2" t="inlineStr">
        <is>
          <t>D0_V * H_V / tau_h</t>
        </is>
      </c>
      <c r="G9" s="2" t="inlineStr">
        <is>
          <t>alginate 2.5 mm; 95% release 5.6 h</t>
        </is>
      </c>
    </row>
    <row r="10">
      <c r="A10" s="2" t="inlineStr">
        <is>
          <t>Effective gel diffusivity FGF2-G3</t>
        </is>
      </c>
      <c r="B10" s="2" t="inlineStr">
        <is>
          <t>Deff_g_F</t>
        </is>
      </c>
      <c r="C10" s="2" t="n">
        <v>1.85e-06</v>
      </c>
      <c r="D10" s="2" t="inlineStr">
        <is>
          <t>cm2/s</t>
        </is>
      </c>
      <c r="E10" s="2" t="inlineStr">
        <is>
          <t>D</t>
        </is>
      </c>
      <c r="F10" s="2" t="inlineStr">
        <is>
          <t>D0_F * H_F / tau_h</t>
        </is>
      </c>
      <c r="G10" s="2" t="inlineStr">
        <is>
          <t>alginate 2.5 mm; 95% release 14.8 h</t>
        </is>
      </c>
    </row>
    <row r="11">
      <c r="A11" s="2" t="inlineStr">
        <is>
          <t>In-gel degradation V14</t>
        </is>
      </c>
      <c r="B11" s="2" t="inlineStr">
        <is>
          <t>k_deg_g_V</t>
        </is>
      </c>
      <c r="C11" s="2" t="n">
        <v>3.15e-05</v>
      </c>
      <c r="D11" s="2" t="inlineStr">
        <is>
          <t>1/s</t>
        </is>
      </c>
      <c r="E11" s="2" t="inlineStr">
        <is>
          <t>D</t>
        </is>
      </c>
      <c r="F11" s="2" t="inlineStr">
        <is>
          <t>ln2 / t_half_V14</t>
        </is>
      </c>
      <c r="G11" s="2" t="inlineStr"/>
    </row>
    <row r="12">
      <c r="A12" s="2" t="inlineStr">
        <is>
          <t>In-gel degradation FGF2-G3</t>
        </is>
      </c>
      <c r="B12" s="2" t="inlineStr">
        <is>
          <t>k_deg_g_F</t>
        </is>
      </c>
      <c r="C12" s="2" t="n">
        <v>1.15e-06</v>
      </c>
      <c r="D12" s="2" t="inlineStr">
        <is>
          <t>1/s</t>
        </is>
      </c>
      <c r="E12" s="2" t="inlineStr">
        <is>
          <t>D</t>
        </is>
      </c>
      <c r="F12" s="2" t="inlineStr">
        <is>
          <t>ln2 / t_half_FGF2G3</t>
        </is>
      </c>
      <c r="G12" s="2" t="inlineStr">
        <is>
          <t>doc bound k &lt;= 4e-7 from ~20 d no-loss claim</t>
        </is>
      </c>
    </row>
    <row r="13">
      <c r="A13" s="2" t="inlineStr">
        <is>
          <t>Heparin/HS site density</t>
        </is>
      </c>
      <c r="B13" s="2" t="inlineStr">
        <is>
          <t>S_max</t>
        </is>
      </c>
      <c r="C13" s="2" t="n">
        <v>0</v>
      </c>
      <c r="D13" s="2" t="inlineStr">
        <is>
          <t>mol/cm3</t>
        </is>
      </c>
      <c r="E13" s="2" t="inlineStr">
        <is>
          <t>L</t>
        </is>
      </c>
      <c r="F13" s="2" t="inlineStr">
        <is>
          <t>https://pubmed.ncbi.nlm.nih.gov/18462788/</t>
        </is>
      </c>
      <c r="G13" s="2" t="inlineStr">
        <is>
          <t>LOCKED: plain alginate does not bind FGFs (Freeman et al. 2008, SPR); alginate-sulfate would (Kd 5-11 nM)</t>
        </is>
      </c>
    </row>
    <row r="14">
      <c r="A14" s="2" t="inlineStr">
        <is>
          <t>V14 sorption retardation</t>
        </is>
      </c>
      <c r="B14" s="2" t="inlineStr">
        <is>
          <t>R_V</t>
        </is>
      </c>
      <c r="C14" s="2" t="n">
        <v>1</v>
      </c>
      <c r="D14" s="2" t="inlineStr">
        <is>
          <t>-</t>
        </is>
      </c>
      <c r="E14" s="2" t="inlineStr">
        <is>
          <t>L</t>
        </is>
      </c>
      <c r="F14" s="2" t="inlineStr">
        <is>
          <t>LOCKED: alginate is hydrophilic</t>
        </is>
      </c>
      <c r="G14" s="2" t="inlineStr">
        <is>
          <t>no V14 sorption; retention would need covalent tethering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Skin tissue thickness</t>
        </is>
      </c>
      <c r="B2" s="2" t="inlineStr">
        <is>
          <t>L_tissue</t>
        </is>
      </c>
      <c r="C2" s="2" t="n">
        <v>0.15</v>
      </c>
      <c r="D2" s="2" t="inlineStr">
        <is>
          <t>cm</t>
        </is>
      </c>
      <c r="E2" s="2" t="inlineStr">
        <is>
          <t>T3</t>
        </is>
      </c>
      <c r="F2" s="2" t="inlineStr">
        <is>
          <t>https://www.ncbi.nlm.nih.gov/books/NBK144027/</t>
        </is>
      </c>
      <c r="G2" s="2" t="inlineStr">
        <is>
          <t>parameter table; 1.5 mm dermis</t>
        </is>
      </c>
    </row>
    <row r="3">
      <c r="A3" s="2" t="inlineStr">
        <is>
          <t>Tissue porosity</t>
        </is>
      </c>
      <c r="B3" s="2" t="inlineStr">
        <is>
          <t>eps_tissue</t>
        </is>
      </c>
      <c r="C3" s="2" t="n">
        <v>0.8</v>
      </c>
      <c r="D3" s="2" t="inlineStr">
        <is>
          <t>-</t>
        </is>
      </c>
      <c r="E3" s="2" t="inlineStr">
        <is>
          <t>T3</t>
        </is>
      </c>
      <c r="F3" s="2" t="inlineStr">
        <is>
          <t>https://link.springer.com/article/10.1186/s12951-020-00755-7</t>
        </is>
      </c>
      <c r="G3" s="2" t="inlineStr">
        <is>
          <t>parameter table. NOTE: this is the eps_t that enters the loading inversion C_V0 &gt;= C_target eps_t delta/(f_rel eps_g L_gel). At eps_t = 0.8 and delta = 500 um the requirement is 117 uM free (f_rel = 1); setting eps_t = 1 (a conservative upper bound) gives 146 uM. The register value governs.</t>
        </is>
      </c>
    </row>
    <row r="4">
      <c r="A4" s="2" t="inlineStr">
        <is>
          <t>Tissue tortuosity</t>
        </is>
      </c>
      <c r="B4" s="2" t="inlineStr">
        <is>
          <t>tau_t</t>
        </is>
      </c>
      <c r="C4" s="2" t="n">
        <v>1.118</v>
      </c>
      <c r="D4" s="2" t="inlineStr">
        <is>
          <t>-</t>
        </is>
      </c>
      <c r="E4" s="2" t="inlineStr">
        <is>
          <t>D</t>
        </is>
      </c>
      <c r="F4" s="2" t="inlineStr">
        <is>
          <t>Bruggeman eps^(-1/2)</t>
        </is>
      </c>
      <c r="G4" s="2" t="inlineStr"/>
    </row>
    <row r="5">
      <c r="A5" s="2" t="inlineStr">
        <is>
          <t>Tissue diffusivity V14</t>
        </is>
      </c>
      <c r="B5" s="2" t="inlineStr">
        <is>
          <t>Deff_t_V</t>
        </is>
      </c>
      <c r="C5" s="2" t="n">
        <v>1.2e-06</v>
      </c>
      <c r="D5" s="2" t="inlineStr">
        <is>
          <t>cm2/s</t>
        </is>
      </c>
      <c r="E5" s="2" t="inlineStr">
        <is>
          <t>T3</t>
        </is>
      </c>
      <c r="F5" s="2" t="inlineStr">
        <is>
          <t>doc App A (size/charge estimate)</t>
        </is>
      </c>
      <c r="G5" s="2" t="inlineStr">
        <is>
          <t>range 0.7-1.8e-6</t>
        </is>
      </c>
    </row>
    <row r="6">
      <c r="A6" s="2" t="inlineStr">
        <is>
          <t>Tissue diffusivity FGF2-G3</t>
        </is>
      </c>
      <c r="B6" s="2" t="inlineStr">
        <is>
          <t>Deff_t_F</t>
        </is>
      </c>
      <c r="C6" s="2" t="n">
        <v>5e-07</v>
      </c>
      <c r="D6" s="2" t="inlineStr">
        <is>
          <t>cm2/s</t>
        </is>
      </c>
      <c r="E6" s="2" t="inlineStr">
        <is>
          <t>T4</t>
        </is>
      </c>
      <c r="F6" s="2" t="inlineStr">
        <is>
          <t>doc</t>
        </is>
      </c>
      <c r="G6" s="2" t="inlineStr">
        <is>
          <t>larger molecule, anionic ECM retention</t>
        </is>
      </c>
    </row>
    <row r="7">
      <c r="A7" s="2" t="inlineStr">
        <is>
          <t>Tissue proteolysis V14</t>
        </is>
      </c>
      <c r="B7" s="2" t="inlineStr">
        <is>
          <t>k_prot_V</t>
        </is>
      </c>
      <c r="C7" s="2" t="n">
        <v>3.15e-05</v>
      </c>
      <c r="D7" s="2" t="inlineStr">
        <is>
          <t>1/s</t>
        </is>
      </c>
      <c r="E7" s="2" t="inlineStr">
        <is>
          <t>T4</t>
        </is>
      </c>
      <c r="F7" s="2" t="inlineStr">
        <is>
          <t>serum t1/2 proxy (as t_half_V14)</t>
        </is>
      </c>
      <c r="G7" s="2" t="inlineStr">
        <is>
          <t>highest-priority unmeasured parameter; sweep 1e-6..1e-3</t>
        </is>
      </c>
    </row>
    <row r="8">
      <c r="A8" s="2" t="inlineStr">
        <is>
          <t>Tissue proteolysis FGF2-G3</t>
        </is>
      </c>
      <c r="B8" s="2" t="inlineStr">
        <is>
          <t>k_prot_F</t>
        </is>
      </c>
      <c r="C8" s="2" t="n">
        <v>1.15e-06</v>
      </c>
      <c r="D8" s="2" t="inlineStr">
        <is>
          <t>1/s</t>
        </is>
      </c>
      <c r="E8" s="2" t="inlineStr">
        <is>
          <t>T4</t>
        </is>
      </c>
      <c r="F8" s="2" t="inlineStr">
        <is>
          <t>thermal/functional t1/2 proxy</t>
        </is>
      </c>
      <c r="G8" s="2" t="inlineStr"/>
    </row>
    <row r="9">
      <c r="A9" s="2" t="inlineStr">
        <is>
          <t>Gel/tissue partition</t>
        </is>
      </c>
      <c r="B9" s="2" t="inlineStr">
        <is>
          <t>K_p</t>
        </is>
      </c>
      <c r="C9" s="2" t="n">
        <v>1</v>
      </c>
      <c r="D9" s="2" t="inlineStr">
        <is>
          <t>-</t>
        </is>
      </c>
      <c r="E9" s="2" t="inlineStr">
        <is>
          <t>T4</t>
        </is>
      </c>
      <c r="F9" s="2" t="inlineStr">
        <is>
          <t>TABLE BLANK ('AI calculation' not verifiable)</t>
        </is>
      </c>
      <c r="G9" s="2" t="inlineStr">
        <is>
          <t>closest usable: neutral 1.0; sensitivity +/- 1 decade</t>
        </is>
      </c>
    </row>
    <row r="10">
      <c r="A10" s="2" t="inlineStr">
        <is>
          <t>Microvascular clearance FGF2-G3</t>
        </is>
      </c>
      <c r="B10" s="2" t="inlineStr">
        <is>
          <t>k_clearance_FGF2G3</t>
        </is>
      </c>
      <c r="C10" s="2" t="n">
        <v>0.000115</v>
      </c>
      <c r="D10" s="2" t="inlineStr">
        <is>
          <t>1/s</t>
        </is>
      </c>
      <c r="E10" s="2" t="inlineStr">
        <is>
          <t>T3</t>
        </is>
      </c>
      <c r="F10" s="2" t="inlineStr">
        <is>
          <t>https://pmc.ncbi.nlm.nih.gov/articles/PMC2764268/</t>
        </is>
      </c>
      <c r="G10" s="2" t="inlineStr">
        <is>
          <t>parameter table (updated value); NOT used in PDE - Dirichlet sink replaces it (no double counting); sensitivity only</t>
        </is>
      </c>
    </row>
    <row r="11">
      <c r="A11" s="2" t="inlineStr">
        <is>
          <t>Microvascular clearance V14</t>
        </is>
      </c>
      <c r="B11" s="2" t="inlineStr">
        <is>
          <t>k_clearance_V14</t>
        </is>
      </c>
      <c r="C11" s="2" t="n">
        <v>0.0035</v>
      </c>
      <c r="D11" s="2" t="inlineStr">
        <is>
          <t>1/s</t>
        </is>
      </c>
      <c r="E11" s="2" t="inlineStr">
        <is>
          <t>T4</t>
        </is>
      </c>
      <c r="F11" s="2" t="inlineStr">
        <is>
          <t>parameter table ('AI calculation')</t>
        </is>
      </c>
      <c r="G11" s="2" t="inlineStr">
        <is>
          <t>UNVERIFIED; not used in PDE (same reason); sensitivity only</t>
        </is>
      </c>
    </row>
    <row r="12">
      <c r="A12" s="2" t="inlineStr">
        <is>
          <t>Fibroblast-active zone depth</t>
        </is>
      </c>
      <c r="B12" s="2" t="inlineStr">
        <is>
          <t>delta</t>
        </is>
      </c>
      <c r="C12" s="2" t="n">
        <v>0.05</v>
      </c>
      <c r="D12" s="2" t="inlineStr">
        <is>
          <t>cm</t>
        </is>
      </c>
      <c r="E12" s="2" t="inlineStr">
        <is>
          <t>T4</t>
        </is>
      </c>
      <c r="F12" s="2" t="inlineStr">
        <is>
          <t>doc sweep 300-1000 um</t>
        </is>
      </c>
      <c r="G12" s="2" t="inlineStr">
        <is>
          <t>depth of the proliferative dermal layer averaged over for FGF arm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LPS-MD2 dissociation constant</t>
        </is>
      </c>
      <c r="B2" s="2" t="inlineStr">
        <is>
          <t>KD_L</t>
        </is>
      </c>
      <c r="C2" s="2" t="n">
        <v>6.5e-11</v>
      </c>
      <c r="D2" s="2" t="inlineStr">
        <is>
          <t>mol/cm3</t>
        </is>
      </c>
      <c r="E2" s="2" t="inlineStr">
        <is>
          <t>T3</t>
        </is>
      </c>
      <c r="F2" s="2" t="inlineStr">
        <is>
          <t>https://doi.org/10.1177/09680519000060060201</t>
        </is>
      </c>
      <c r="G2" s="2" t="inlineStr">
        <is>
          <t>Viriyakosol 2000, J Endotoxin Res: apparent KD ~ 65 nM; LPS aggregation/CD14 caveats -&gt; order of magnitude</t>
        </is>
      </c>
    </row>
    <row r="3">
      <c r="A3" s="2" t="inlineStr">
        <is>
          <t>MD2-TLR4 affinity</t>
        </is>
      </c>
      <c r="B3" s="2" t="inlineStr">
        <is>
          <t>KD_MD2TLR4</t>
        </is>
      </c>
      <c r="C3" s="2" t="n">
        <v>1.2e-11</v>
      </c>
      <c r="D3" s="2" t="inlineStr">
        <is>
          <t>mol/cm3</t>
        </is>
      </c>
      <c r="E3" s="2" t="inlineStr">
        <is>
          <t>T3</t>
        </is>
      </c>
      <c r="F3" s="2" t="inlineStr">
        <is>
          <t>https://doi.org/10.1074/jbc.m800672200</t>
        </is>
      </c>
      <c r="G3" s="2" t="inlineStr">
        <is>
          <t>Teghanemt 2008 JBC: low-nM complex; not entered in equations (TLR4_tot absorbs it)</t>
        </is>
      </c>
    </row>
    <row r="4">
      <c r="A4" s="2" t="inlineStr">
        <is>
          <t>Wound endotoxin load</t>
        </is>
      </c>
      <c r="B4" s="2" t="inlineStr">
        <is>
          <t>L_uM</t>
        </is>
      </c>
      <c r="C4" s="2" t="n">
        <v>1</v>
      </c>
      <c r="D4" s="2" t="inlineStr">
        <is>
          <t>uM</t>
        </is>
      </c>
      <c r="E4" s="2" t="inlineStr">
        <is>
          <t>T4</t>
        </is>
      </c>
      <c r="F4" s="2" t="inlineStr">
        <is>
          <t>unconstrained knob; paucity of measured exudate values: https://doi.org/10.12968/jowc.2022.31.5.380</t>
        </is>
      </c>
      <c r="G4" s="2" t="inlineStr">
        <is>
          <t>a = [L]/KD_L is what enters the model; sweep decades; 1 uM sets untreated theta=0.94 (closure calibration anchor)</t>
        </is>
      </c>
    </row>
    <row r="5">
      <c r="A5" s="2" t="inlineStr">
        <is>
          <t>Total TLR4/MD2 density</t>
        </is>
      </c>
      <c r="B5" s="2" t="inlineStr">
        <is>
          <t>TLR4_tot_nM</t>
        </is>
      </c>
      <c r="C5" s="2" t="n">
        <v>1</v>
      </c>
      <c r="D5" s="2" t="inlineStr">
        <is>
          <t>nM</t>
        </is>
      </c>
      <c r="E5" s="2" t="inlineStr">
        <is>
          <t>T4</t>
        </is>
      </c>
      <c r="F5" s="2" t="inlineStr">
        <is>
          <t>doc range 0.17-1.7 nM (10^4-10^5 complexes/cell x 10^7 cells/cm3)</t>
        </is>
      </c>
      <c r="G5" s="2" t="inlineStr">
        <is>
          <t>quantitative flow cytometry with beads would fix 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p65 half-maximal activation</t>
        </is>
      </c>
      <c r="B2" s="2" t="inlineStr">
        <is>
          <t>K_NF (K_p65)</t>
        </is>
      </c>
      <c r="C2" s="2" t="n">
        <v>10</v>
      </c>
      <c r="D2" s="2" t="inlineStr">
        <is>
          <t>nM</t>
        </is>
      </c>
      <c r="E2" s="2" t="inlineStr">
        <is>
          <t>T4</t>
        </is>
      </c>
      <c r="F2" s="2" t="inlineStr">
        <is>
          <t>parameter table (JBC)</t>
        </is>
      </c>
      <c r="G2" s="2" t="inlineStr"/>
    </row>
    <row r="3">
      <c r="A3" s="2" t="inlineStr">
        <is>
          <t>Hill coefficient</t>
        </is>
      </c>
      <c r="B3" s="2" t="inlineStr">
        <is>
          <t>h (n)</t>
        </is>
      </c>
      <c r="C3" s="2" t="n">
        <v>2</v>
      </c>
      <c r="D3" s="2" t="inlineStr">
        <is>
          <t>-</t>
        </is>
      </c>
      <c r="E3" s="2" t="inlineStr">
        <is>
          <t>T3</t>
        </is>
      </c>
      <c r="F3" s="2" t="inlineStr">
        <is>
          <t>https://www.jbc.org/article/S0021-9258(19)62183-6/fulltext</t>
        </is>
      </c>
      <c r="G3" s="2" t="inlineStr">
        <is>
          <t>parameter table; NF-kB p65 dimer</t>
        </is>
      </c>
    </row>
    <row r="4">
      <c r="A4" s="2" t="inlineStr">
        <is>
          <t>Basal nuclear p65</t>
        </is>
      </c>
      <c r="B4" s="2" t="inlineStr">
        <is>
          <t>p65_bas</t>
        </is>
      </c>
      <c r="C4" s="2" t="n">
        <v>0.5</v>
      </c>
      <c r="D4" s="2" t="inlineStr">
        <is>
          <t>nM</t>
        </is>
      </c>
      <c r="E4" s="2" t="inlineStr">
        <is>
          <t>T4</t>
        </is>
      </c>
      <c r="F4" s="2" t="inlineStr">
        <is>
          <t>doc</t>
        </is>
      </c>
      <c r="G4" s="2" t="inlineStr"/>
    </row>
    <row r="5">
      <c r="A5" s="2" t="inlineStr">
        <is>
          <t>Maximal nuclear p65</t>
        </is>
      </c>
      <c r="B5" s="2" t="inlineStr">
        <is>
          <t>p65_max</t>
        </is>
      </c>
      <c r="C5" s="2" t="n">
        <v>50</v>
      </c>
      <c r="D5" s="2" t="inlineStr">
        <is>
          <t>nM</t>
        </is>
      </c>
      <c r="E5" s="2" t="inlineStr">
        <is>
          <t>T4</t>
        </is>
      </c>
      <c r="F5" s="2" t="inlineStr">
        <is>
          <t>doc</t>
        </is>
      </c>
      <c r="G5" s="2" t="inlineStr"/>
    </row>
    <row r="6">
      <c r="A6" s="2" t="inlineStr">
        <is>
          <t>Therapeutic p65 target</t>
        </is>
      </c>
      <c r="B6" s="2" t="inlineStr">
        <is>
          <t>p65_target</t>
        </is>
      </c>
      <c r="C6" s="2" t="n">
        <v>5</v>
      </c>
      <c r="D6" s="2" t="inlineStr">
        <is>
          <t>nM</t>
        </is>
      </c>
      <c r="E6" s="2" t="inlineStr">
        <is>
          <t>T4</t>
        </is>
      </c>
      <c r="F6" s="2" t="inlineStr">
        <is>
          <t>design knob</t>
        </is>
      </c>
      <c r="G6" s="2" t="inlineStr">
        <is>
          <t>NOTE: requires TLR4_tot &gt; 3.16 nM - above the whole prior; absolute target never binding, use scaled psi50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Wound NO concentration (team)</t>
        </is>
      </c>
      <c r="B2" s="2" t="inlineStr">
        <is>
          <t>C_w</t>
        </is>
      </c>
      <c r="C2" s="2" t="n">
        <v>36</v>
      </c>
      <c r="D2" s="2" t="inlineStr">
        <is>
          <t>nM</t>
        </is>
      </c>
      <c r="E2" s="2" t="inlineStr">
        <is>
          <t>T3</t>
        </is>
      </c>
      <c r="F2" s="2" t="inlineStr">
        <is>
          <t>parameter table ('calculated using the equation in the model')</t>
        </is>
      </c>
      <c r="G2" s="2" t="inlineStr">
        <is>
          <t>self-consistency CHECK, not an input; reproduced at mac_band = 364 um with q_chronic and k_scavenge as tabulated.</t>
        </is>
      </c>
    </row>
    <row r="3">
      <c r="A3" s="2" t="inlineStr">
        <is>
          <t>NO diffusivity in water</t>
        </is>
      </c>
      <c r="B3" s="2" t="inlineStr">
        <is>
          <t>D_water_NO</t>
        </is>
      </c>
      <c r="C3" s="2" t="n">
        <v>3e-05</v>
      </c>
      <c r="D3" s="2" t="inlineStr">
        <is>
          <t>cm2/s</t>
        </is>
      </c>
      <c r="E3" s="2" t="inlineStr">
        <is>
          <t>T3</t>
        </is>
      </c>
      <c r="F3" s="2" t="inlineStr">
        <is>
          <t>https://link.springer.com/article/10.1007/s10439-005-8980-9</t>
        </is>
      </c>
      <c r="G3" s="2" t="inlineStr">
        <is>
          <t>parameter table</t>
        </is>
      </c>
    </row>
    <row r="4">
      <c r="A4" s="2" t="inlineStr">
        <is>
          <t>NO half-life (normoxic tissue)</t>
        </is>
      </c>
      <c r="B4" s="2" t="inlineStr">
        <is>
          <t>t_half_NO</t>
        </is>
      </c>
      <c r="C4" s="2" t="inlineStr">
        <is>
          <t>0.09-2</t>
        </is>
      </c>
      <c r="D4" s="2" t="inlineStr">
        <is>
          <t>s</t>
        </is>
      </c>
      <c r="E4" s="2" t="inlineStr">
        <is>
          <t>T3</t>
        </is>
      </c>
      <c r="F4" s="2" t="inlineStr">
        <is>
          <t>https://pubmed.ncbi.nlm.nih.gov/11134509/</t>
        </is>
      </c>
      <c r="G4" s="2" t="inlineStr">
        <is>
          <t>parameter table (updated range; the doc previously used 3-10 s). TISSUE NO consumption, which sets the penetration depth L_d in the legacy sensing analysis. NOT the same quantity as k_scavenge below. Consumption is second order, so t_1/2 is concentration dependent -&gt; report as a range.</t>
        </is>
      </c>
    </row>
    <row r="5">
      <c r="A5" s="2" t="inlineStr">
        <is>
          <t>NO scavenging rate</t>
        </is>
      </c>
      <c r="B5" s="2" t="inlineStr">
        <is>
          <t>k_scavenge</t>
        </is>
      </c>
      <c r="C5" s="2" t="n">
        <v>0.01</v>
      </c>
      <c r="D5" s="2" t="inlineStr">
        <is>
          <t>1/s</t>
        </is>
      </c>
      <c r="E5" s="2" t="inlineStr">
        <is>
          <t>T3</t>
        </is>
      </c>
      <c r="F5" s="2" t="inlineStr">
        <is>
          <t>https://journals.sagepub.com/doi/10.1089/ars.2010.3297</t>
        </is>
      </c>
      <c r="G5" s="2" t="inlineStr">
        <is>
          <t>parameter table. Autoxidation in CULTURE MEDIUM (t_1/2 = ln2/k = 69 s), which is what the in-vitro free-NO balance uses, since Model 5 is a well and not tissue. About two decades slower than t_half_NO above; do not interchange them. Only free NO scales with this -- cumulative nitrite does not.</t>
        </is>
      </c>
    </row>
    <row r="6">
      <c r="A6" s="2" t="inlineStr">
        <is>
          <t>M1 macrophage density</t>
        </is>
      </c>
      <c r="B6" s="2" t="inlineStr">
        <is>
          <t>N_mac_M1</t>
        </is>
      </c>
      <c r="C6" s="2" t="inlineStr">
        <is>
          <t>230 +/- 42</t>
        </is>
      </c>
      <c r="D6" s="2" t="inlineStr">
        <is>
          <t>cells/mm2</t>
        </is>
      </c>
      <c r="E6" s="2" t="inlineStr">
        <is>
          <t>T3</t>
        </is>
      </c>
      <c r="F6" s="2" t="inlineStr">
        <is>
          <t>https://pubmed.ncbi.nlm.nih.gov/32815405/</t>
        </is>
      </c>
      <c r="G6" s="2" t="inlineStr">
        <is>
          <t>parameter table (new entry)</t>
        </is>
      </c>
    </row>
    <row r="7">
      <c r="A7" s="2" t="inlineStr">
        <is>
          <t>M1 density, chronic baseline (day 0)</t>
        </is>
      </c>
      <c r="B7" s="2" t="inlineStr">
        <is>
          <t>N_mac_baseline</t>
        </is>
      </c>
      <c r="C7" s="2" t="n">
        <v>262</v>
      </c>
      <c r="D7" s="2" t="inlineStr">
        <is>
          <t>cells/mm2</t>
        </is>
      </c>
      <c r="E7" s="2" t="inlineStr">
        <is>
          <t>T3</t>
        </is>
      </c>
      <c r="F7" s="2" t="inlineStr">
        <is>
          <t>https://doi.org/10.1177/1534734620945559</t>
        </is>
      </c>
      <c r="G7" s="2" t="inlineStr">
        <is>
          <t>parameter table; used as base</t>
        </is>
      </c>
    </row>
    <row r="8">
      <c r="A8" s="2" t="inlineStr">
        <is>
          <t>M1 density, chronic (day 30)</t>
        </is>
      </c>
      <c r="B8" s="2" t="inlineStr">
        <is>
          <t>N_mac_chronic</t>
        </is>
      </c>
      <c r="C8" s="2" t="n">
        <v>241</v>
      </c>
      <c r="D8" s="2" t="inlineStr">
        <is>
          <t>cells/mm2</t>
        </is>
      </c>
      <c r="E8" s="2" t="inlineStr">
        <is>
          <t>T3</t>
        </is>
      </c>
      <c r="F8" s="2" t="inlineStr">
        <is>
          <t>https://doi.org/10.1177/1534734620945559</t>
        </is>
      </c>
      <c r="G8" s="2" t="inlineStr">
        <is>
          <t>parameter table (new entry); ~8% decay over 30 d</t>
        </is>
      </c>
    </row>
    <row r="9">
      <c r="A9" s="2" t="inlineStr">
        <is>
          <t>iNOS catalytic rate (Griess)</t>
        </is>
      </c>
      <c r="B9" s="2" t="inlineStr">
        <is>
          <t>q_iNOS_Griess</t>
        </is>
      </c>
      <c r="C9" s="2" t="inlineStr">
        <is>
          <t>2.3 +/- 0.6</t>
        </is>
      </c>
      <c r="D9" s="2" t="inlineStr">
        <is>
          <t>pmol/s/10^6 cells</t>
        </is>
      </c>
      <c r="E9" s="2" t="inlineStr">
        <is>
          <t>T3</t>
        </is>
      </c>
      <c r="F9" s="2" t="inlineStr">
        <is>
          <t>https://pmc.ncbi.nlm.nih.gov/articles/PMC2879621/</t>
        </is>
      </c>
      <c r="G9" s="2" t="inlineStr">
        <is>
          <t>parameter table (new entry); = 2.3e-19 mol/cell/s, lower end of q_chronic</t>
        </is>
      </c>
    </row>
    <row r="10">
      <c r="A10" s="2" t="inlineStr">
        <is>
          <t>Sustained iNOS rate (chronic)</t>
        </is>
      </c>
      <c r="B10" s="2" t="inlineStr">
        <is>
          <t>q_chronic</t>
        </is>
      </c>
      <c r="C10" s="2" t="inlineStr">
        <is>
          <t>3.5-8.1e-19</t>
        </is>
      </c>
      <c r="D10" s="2" t="inlineStr">
        <is>
          <t>mol/cell/s</t>
        </is>
      </c>
      <c r="E10" s="2" t="inlineStr">
        <is>
          <t>T3</t>
        </is>
      </c>
      <c r="F10" s="2" t="inlineStr">
        <is>
          <t>https://www.pnas.org/doi/full/10.1073/pnas.94.22.11875</t>
        </is>
      </c>
      <c r="G10" s="2" t="inlineStr">
        <is>
          <t>parameter table; base 5.0e-19 (mid-range); 30-70 nmol/10^6 cells/day</t>
        </is>
      </c>
    </row>
    <row r="11">
      <c r="A11" s="2" t="inlineStr">
        <is>
          <t>Max iNOS rate (acute)</t>
        </is>
      </c>
      <c r="B11" s="2" t="inlineStr">
        <is>
          <t>q_max_acute</t>
        </is>
      </c>
      <c r="C11" s="2" t="n">
        <v>8.17e-17</v>
      </c>
      <c r="D11" s="2" t="inlineStr">
        <is>
          <t>mol/cell/s</t>
        </is>
      </c>
      <c r="E11" s="2" t="inlineStr">
        <is>
          <t>T3</t>
        </is>
      </c>
      <c r="F11" s="2" t="inlineStr">
        <is>
          <t>https://journals.physiology.org/doi/full/10.1152/ajpcell.00469.2007</t>
        </is>
      </c>
      <c r="G11" s="2" t="inlineStr">
        <is>
          <t>parameter table; 4.9 nmol/min/10^6 cells; V2's 1e-14 was ~1e4x too high</t>
        </is>
      </c>
    </row>
    <row r="12">
      <c r="A12" s="2" t="inlineStr">
        <is>
          <t>Macrophage band depth</t>
        </is>
      </c>
      <c r="B12" s="2" t="inlineStr">
        <is>
          <t>mac_band</t>
        </is>
      </c>
      <c r="C12" s="2" t="n">
        <v>0.0364</v>
      </c>
      <c r="D12" s="2" t="inlineStr">
        <is>
          <t>cm</t>
        </is>
      </c>
      <c r="E12" s="2" t="inlineStr">
        <is>
          <t>T4</t>
        </is>
      </c>
      <c r="F12" s="2" t="inlineStr">
        <is>
          <t>calibration</t>
        </is>
      </c>
      <c r="G12" s="2" t="inlineStr">
        <is>
          <t>CALIBRATED: band x q / k_scav sets baseline NO; 0.0364 cm (364 um) is the depth that reproduces the 36 nM wound-NO figure. The earlier 0.005 cm gave 262 nM and so contradicted the very number it was calibrated against. Not used by any figure.</t>
        </is>
      </c>
    </row>
    <row r="13">
      <c r="A13" s="2" t="inlineStr">
        <is>
          <t>iNOS turnover time</t>
        </is>
      </c>
      <c r="B13" s="2" t="inlineStr">
        <is>
          <t>k_turn</t>
        </is>
      </c>
      <c r="C13" s="2" t="inlineStr">
        <is>
          <t>ln2/4h</t>
        </is>
      </c>
      <c r="D13" s="2" t="inlineStr">
        <is>
          <t>1/s</t>
        </is>
      </c>
      <c r="E13" s="2" t="inlineStr">
        <is>
          <t>T4</t>
        </is>
      </c>
      <c r="F13" s="2" t="inlineStr">
        <is>
          <t>doc, tau 2-6 h</t>
        </is>
      </c>
      <c r="G13" s="2" t="inlineStr"/>
    </row>
    <row r="14">
      <c r="A14" s="2" t="inlineStr">
        <is>
          <t>iNOS induction threshold</t>
        </is>
      </c>
      <c r="B14" s="2" t="inlineStr">
        <is>
          <t>K_iNOS</t>
        </is>
      </c>
      <c r="C14" s="2" t="inlineStr">
        <is>
          <t>0.3 x p65_max</t>
        </is>
      </c>
      <c r="D14" s="2" t="inlineStr">
        <is>
          <t>nM</t>
        </is>
      </c>
      <c r="E14" s="2" t="inlineStr">
        <is>
          <t>T4</t>
        </is>
      </c>
      <c r="F14" s="2" t="inlineStr">
        <is>
          <t>doc</t>
        </is>
      </c>
      <c r="G14" s="2" t="inlineStr"/>
    </row>
    <row r="15">
      <c r="A15" s="2" t="inlineStr">
        <is>
          <t>iNOS Hill coefficient</t>
        </is>
      </c>
      <c r="B15" s="2" t="inlineStr">
        <is>
          <t>p_iNOS</t>
        </is>
      </c>
      <c r="C15" s="2" t="n">
        <v>2</v>
      </c>
      <c r="D15" s="2" t="inlineStr">
        <is>
          <t>-</t>
        </is>
      </c>
      <c r="E15" s="2" t="inlineStr">
        <is>
          <t>T4</t>
        </is>
      </c>
      <c r="F15" s="2" t="inlineStr">
        <is>
          <t>doc</t>
        </is>
      </c>
      <c r="G15" s="2" t="inlineStr"/>
    </row>
    <row r="16">
      <c r="A16" s="2" t="inlineStr">
        <is>
          <t>NO-&gt;nitrite yield</t>
        </is>
      </c>
      <c r="B16" s="2" t="inlineStr">
        <is>
          <t>phi</t>
        </is>
      </c>
      <c r="C16" s="2" t="n">
        <v>0.9</v>
      </c>
      <c r="D16" s="2" t="inlineStr">
        <is>
          <t>-</t>
        </is>
      </c>
      <c r="E16" s="2" t="inlineStr">
        <is>
          <t>T4</t>
        </is>
      </c>
      <c r="F16" s="2" t="inlineStr">
        <is>
          <t>doc</t>
        </is>
      </c>
      <c r="G16" s="2" t="inlineStr">
        <is>
          <t>nitrite/nitrate speciation would fix 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Fibroblast motility</t>
        </is>
      </c>
      <c r="B2" s="2" t="inlineStr">
        <is>
          <t>D_n</t>
        </is>
      </c>
      <c r="C2" s="2" t="n">
        <v>1e-09</v>
      </c>
      <c r="D2" s="2" t="inlineStr">
        <is>
          <t>cm2/s</t>
        </is>
      </c>
      <c r="E2" s="2" t="inlineStr">
        <is>
          <t>T4</t>
        </is>
      </c>
      <c r="F2" s="2" t="inlineStr">
        <is>
          <t>https://doi.org/10.1098/rsta.2006.1773 ; https://doi.org/10.1186/s12918-015-0182-y</t>
        </is>
      </c>
      <c r="G2" s="2" t="inlineStr">
        <is>
          <t>bounded by clinical granulation rates 0.1-0.5 mm/d; least influential closure parameter (ST=0.017)</t>
        </is>
      </c>
    </row>
    <row r="3">
      <c r="A3" s="2" t="inlineStr">
        <is>
          <t>Carrying capacity</t>
        </is>
      </c>
      <c r="B3" s="2" t="inlineStr">
        <is>
          <t>K_cells</t>
        </is>
      </c>
      <c r="C3" s="2" t="n">
        <v>5000000</v>
      </c>
      <c r="D3" s="2" t="inlineStr">
        <is>
          <t>cells/cm3</t>
        </is>
      </c>
      <c r="E3" s="2" t="inlineStr">
        <is>
          <t>T4</t>
        </is>
      </c>
      <c r="F3" s="2" t="inlineStr">
        <is>
          <t>https://doi.org/10.1034/j.1600-0625.2003.00023.x</t>
        </is>
      </c>
      <c r="G3" s="2" t="inlineStr">
        <is>
          <t>Miller 2003: normal dermis 2100-4100 cells/mm3 (2.1-4.1e6/cm3); granulation tissue higher -&gt; 5e6</t>
        </is>
      </c>
    </row>
    <row r="4">
      <c r="A4" s="2" t="inlineStr">
        <is>
          <t>Basal proliferation (chronic)</t>
        </is>
      </c>
      <c r="B4" s="2" t="inlineStr">
        <is>
          <t>r0_chronic</t>
        </is>
      </c>
      <c r="C4" s="2" t="n">
        <v>0.8</v>
      </c>
      <c r="D4" s="2" t="inlineStr">
        <is>
          <t>1/d</t>
        </is>
      </c>
      <c r="E4" s="2" t="inlineStr">
        <is>
          <t>T4</t>
        </is>
      </c>
      <c r="F4" s="2" t="inlineStr">
        <is>
          <t>Raff &amp; Houck 1969, J Cell Physiol (fibroblast generation 32-39 h in repair)</t>
        </is>
      </c>
      <c r="G4" s="2" t="inlineStr">
        <is>
          <t>naive rate ~0.4-0.5/d; chronic wound lower still; dominates closure (ST=0.68)</t>
        </is>
      </c>
    </row>
    <row r="5">
      <c r="A5" s="2" t="inlineStr">
        <is>
          <t>Basal death (chronic)</t>
        </is>
      </c>
      <c r="B5" s="2" t="inlineStr">
        <is>
          <t>d0_chronic</t>
        </is>
      </c>
      <c r="C5" s="2" t="n">
        <v>0.24</v>
      </c>
      <c r="D5" s="2" t="inlineStr">
        <is>
          <t>1/d</t>
        </is>
      </c>
      <c r="E5" s="2" t="inlineStr">
        <is>
          <t>T4</t>
        </is>
      </c>
      <c r="F5" s="2" t="inlineStr">
        <is>
          <t>calibrated 2026-10-09 (was 1.0)</t>
        </is>
      </c>
      <c r="G5" s="2" t="inlineStr">
        <is>
          <t>CALIBRATION: untreated chronic net = rp(0,0.94)-d(0.94) ~ -0.01/d (stall, not extinction); Fisher-KPP with rp&lt;d has extinction as only steady state -&gt; old 1.0 predicted wound degeneration</t>
        </is>
      </c>
    </row>
    <row r="6">
      <c r="A6" s="2" t="inlineStr">
        <is>
          <t>FGF max efficacy</t>
        </is>
      </c>
      <c r="B6" s="2" t="inlineStr">
        <is>
          <t>E_max</t>
        </is>
      </c>
      <c r="C6" s="2" t="n">
        <v>2</v>
      </c>
      <c r="D6" s="2" t="inlineStr">
        <is>
          <t>-</t>
        </is>
      </c>
      <c r="E6" s="2" t="inlineStr">
        <is>
          <t>T4</t>
        </is>
      </c>
      <c r="F6" s="2" t="inlineStr">
        <is>
          <t>no MTT data (locked assumption 2)</t>
        </is>
      </c>
      <c r="G6" s="2" t="inlineStr">
        <is>
          <t>scenario prior, never fitted</t>
        </is>
      </c>
    </row>
    <row r="7">
      <c r="A7" s="2" t="inlineStr">
        <is>
          <t>FGF proliferative EC50</t>
        </is>
      </c>
      <c r="B7" s="2" t="inlineStr">
        <is>
          <t>EC50_F</t>
        </is>
      </c>
      <c r="C7" s="2" t="n">
        <v>0.5</v>
      </c>
      <c r="D7" s="2" t="inlineStr">
        <is>
          <t>ng/mL</t>
        </is>
      </c>
      <c r="E7" s="2" t="inlineStr">
        <is>
          <t>T4</t>
        </is>
      </c>
      <c r="F7" s="2" t="inlineStr">
        <is>
          <t>https://doi.org/10.3390/ph17020247 ; https://doi.org/10.1186/1478-811x-8-14</t>
        </is>
      </c>
      <c r="G7" s="2" t="inlineStr">
        <is>
          <t>Benington 2024: dose-dependent mitogenesis 0.0098-200 ng/mL; Zhu 2010: optimum ~0.3 ng/mL (biphasic above)</t>
        </is>
      </c>
    </row>
    <row r="8">
      <c r="A8" s="2" t="inlineStr">
        <is>
          <t>Inflammation penalty (prolif.)</t>
        </is>
      </c>
      <c r="B8" s="2" t="inlineStr">
        <is>
          <t>beta_r</t>
        </is>
      </c>
      <c r="C8" s="2" t="n">
        <v>0.5</v>
      </c>
      <c r="D8" s="2" t="inlineStr">
        <is>
          <t>-</t>
        </is>
      </c>
      <c r="E8" s="2" t="inlineStr">
        <is>
          <t>T4</t>
        </is>
      </c>
      <c r="F8" s="2" t="inlineStr">
        <is>
          <t>doc</t>
        </is>
      </c>
      <c r="G8" s="2" t="inlineStr"/>
    </row>
    <row r="9">
      <c r="A9" s="2" t="inlineStr">
        <is>
          <t>Inflammation threshold (prolif.)</t>
        </is>
      </c>
      <c r="B9" s="2" t="inlineStr">
        <is>
          <t>K_I_r</t>
        </is>
      </c>
      <c r="C9" s="2" t="n">
        <v>0.3</v>
      </c>
      <c r="D9" s="2" t="inlineStr">
        <is>
          <t>-</t>
        </is>
      </c>
      <c r="E9" s="2" t="inlineStr">
        <is>
          <t>T4</t>
        </is>
      </c>
      <c r="F9" s="2" t="inlineStr">
        <is>
          <t>doc</t>
        </is>
      </c>
      <c r="G9" s="2" t="inlineStr"/>
    </row>
    <row r="10">
      <c r="A10" s="2" t="inlineStr">
        <is>
          <t>Max death increment</t>
        </is>
      </c>
      <c r="B10" s="2" t="inlineStr">
        <is>
          <t>Delta_d</t>
        </is>
      </c>
      <c r="C10" s="2" t="n">
        <v>0.3</v>
      </c>
      <c r="D10" s="2" t="inlineStr">
        <is>
          <t>1/d</t>
        </is>
      </c>
      <c r="E10" s="2" t="inlineStr">
        <is>
          <t>T4</t>
        </is>
      </c>
      <c r="F10" s="2" t="inlineStr">
        <is>
          <t>calibrated 2026-10-09 (was 0.7)</t>
        </is>
      </c>
      <c r="G10" s="2" t="inlineStr">
        <is>
          <t>CALIBRATION: with d0=0.24 gives d(0.94)=0.51 vs rp=0.50 -&gt; chronic stalls, population persists; normal wound (no inflammation) heals in ~16 d</t>
        </is>
      </c>
    </row>
    <row r="11">
      <c r="A11" s="2" t="inlineStr">
        <is>
          <t>Inflammation threshold (death)</t>
        </is>
      </c>
      <c r="B11" s="2" t="inlineStr">
        <is>
          <t>K_I_d</t>
        </is>
      </c>
      <c r="C11" s="2" t="n">
        <v>0.3</v>
      </c>
      <c r="D11" s="2" t="inlineStr">
        <is>
          <t>-</t>
        </is>
      </c>
      <c r="E11" s="2" t="inlineStr">
        <is>
          <t>T4</t>
        </is>
      </c>
      <c r="F11" s="2" t="inlineStr">
        <is>
          <t>doc</t>
        </is>
      </c>
      <c r="G11" s="2" t="inlineStr"/>
    </row>
    <row r="12">
      <c r="A12" s="2" t="inlineStr">
        <is>
          <t>Death Hill exponent</t>
        </is>
      </c>
      <c r="B12" s="2" t="inlineStr">
        <is>
          <t>s_I</t>
        </is>
      </c>
      <c r="C12" s="2" t="n">
        <v>2</v>
      </c>
      <c r="D12" s="2" t="inlineStr">
        <is>
          <t>-</t>
        </is>
      </c>
      <c r="E12" s="2" t="inlineStr">
        <is>
          <t>T4</t>
        </is>
      </c>
      <c r="F12" s="2" t="inlineStr">
        <is>
          <t>doc</t>
        </is>
      </c>
      <c r="G12" s="2" t="inlineStr"/>
    </row>
    <row r="13">
      <c r="A13" s="2" t="inlineStr">
        <is>
          <t>Effect-compartment rate</t>
        </is>
      </c>
      <c r="B13" s="2" t="inlineStr">
        <is>
          <t>ke0</t>
        </is>
      </c>
      <c r="C13" s="2" t="inlineStr">
        <is>
          <t>1/18h</t>
        </is>
      </c>
      <c r="D13" s="2" t="inlineStr">
        <is>
          <t>1/h</t>
        </is>
      </c>
      <c r="E13" s="2" t="inlineStr">
        <is>
          <t>T4</t>
        </is>
      </c>
      <c r="F13" s="2" t="inlineStr">
        <is>
          <t>https://doi.org/10.1111/bcp.12286</t>
        </is>
      </c>
      <c r="G13" s="2" t="inlineStr">
        <is>
          <t>Gambus &amp; Troconiz 2014 (effect-compartment ke0); doc range 1/(12-24 h)</t>
        </is>
      </c>
    </row>
    <row r="14">
      <c r="A14" s="2" t="inlineStr">
        <is>
          <t>Wound radius (base)</t>
        </is>
      </c>
      <c r="B14" s="2" t="inlineStr">
        <is>
          <t>R_w</t>
        </is>
      </c>
      <c r="C14" s="2" t="n">
        <v>0.2</v>
      </c>
      <c r="D14" s="2" t="inlineStr">
        <is>
          <t>cm</t>
        </is>
      </c>
      <c r="E14" s="2" t="inlineStr">
        <is>
          <t>T4</t>
        </is>
      </c>
      <c r="F14" s="2" t="inlineStr">
        <is>
          <t>doc grid 1-5 mm</t>
        </is>
      </c>
      <c r="G14" s="2" t="inlineStr"/>
    </row>
    <row r="15">
      <c r="A15" s="2" t="inlineStr">
        <is>
          <t>Initial-condition smoothing</t>
        </is>
      </c>
      <c r="B15" s="2" t="inlineStr">
        <is>
          <t>w_smooth</t>
        </is>
      </c>
      <c r="C15" s="2" t="n">
        <v>0.0075</v>
      </c>
      <c r="D15" s="2" t="inlineStr">
        <is>
          <t>cm</t>
        </is>
      </c>
      <c r="E15" s="2" t="inlineStr">
        <is>
          <t>T4</t>
        </is>
      </c>
      <c r="F15" s="2" t="inlineStr">
        <is>
          <t>doc 50-100 um</t>
        </is>
      </c>
      <c r="G15" s="2" t="inlineStr"/>
    </row>
    <row r="16">
      <c r="A16" s="2" t="inlineStr">
        <is>
          <t>Closure threshold</t>
        </is>
      </c>
      <c r="B16" s="2" t="inlineStr">
        <is>
          <t>n_thr</t>
        </is>
      </c>
      <c r="C16" s="2" t="n">
        <v>0.5</v>
      </c>
      <c r="D16" s="2" t="inlineStr">
        <is>
          <t>x n_ss</t>
        </is>
      </c>
      <c r="E16" s="2" t="inlineStr">
        <is>
          <t>T4</t>
        </is>
      </c>
      <c r="F16" s="2" t="inlineStr">
        <is>
          <t>doc</t>
        </is>
      </c>
      <c r="G16" s="2" t="inlineStr">
        <is>
          <t>relative to n_ss = K(1-d/rp), NOT 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Efficacious V14 concentration</t>
        </is>
      </c>
      <c r="B2" s="2" t="inlineStr">
        <is>
          <t>C_V_target</t>
        </is>
      </c>
      <c r="C2" s="2" t="n">
        <v>145</v>
      </c>
      <c r="D2" s="2" t="inlineStr">
        <is>
          <t>uM</t>
        </is>
      </c>
      <c r="E2" s="2" t="inlineStr">
        <is>
          <t>D</t>
        </is>
      </c>
      <c r="F2" s="2" t="inlineStr">
        <is>
          <t>derived: 14 Oct 2026 flow panel (gate-frequency detection limit)</t>
        </is>
      </c>
      <c r="G2" s="2" t="inlineStr">
        <is>
          <t>REPLACES the earlier T4 guess of 25 uM. Chain: gate-frequency detection limit 27.8 % (two-sided t, n = 3) -&gt; 13.1 % occupancy drop at SIGMA_LOG = 0.7 (T4) -&gt; K_D,P &gt;= 10.08 uM (ONE-SIDED lower bound) -&gt; C_target = K_D,P (a-1) = 145 uM, the dose at which half the MD2 pool is LPS-bound (a = [L]/KD_L = 15.4). psi_50 = 1+a would be 165 uM. Because K_D,P is a lower bound, so is the target. See v3model.occupancy_from_gate.</t>
        </is>
      </c>
    </row>
    <row r="3">
      <c r="A3" s="2" t="inlineStr">
        <is>
          <t>Released (mobile) fraction, V14</t>
        </is>
      </c>
      <c r="B3" s="2" t="inlineStr">
        <is>
          <t>f_rel_V</t>
        </is>
      </c>
      <c r="C3" s="2" t="n">
        <v>0.5</v>
      </c>
      <c r="D3" s="2" t="inlineStr">
        <is>
          <t>-</t>
        </is>
      </c>
      <c r="E3" s="2" t="inlineStr">
        <is>
          <t>T4</t>
        </is>
      </c>
      <c r="F3" s="2" t="inlineStr">
        <is>
          <t>team estimate (2026-10-16)</t>
        </is>
      </c>
      <c r="G3" s="2">
        <f> f_mob: only f_rel x loading is free to diffuse; the remainder stays in the gel. Was 1 (whole dose mobile). Measure by release assay to completion.</f>
        <v/>
      </c>
    </row>
    <row r="4">
      <c r="A4" s="2" t="inlineStr">
        <is>
          <t>Released (mobile) fraction, FGF2-G3</t>
        </is>
      </c>
      <c r="B4" s="2" t="inlineStr">
        <is>
          <t>f_rel_F</t>
        </is>
      </c>
      <c r="C4" s="2" t="n">
        <v>0.31</v>
      </c>
      <c r="D4" s="2" t="inlineStr">
        <is>
          <t>-</t>
        </is>
      </c>
      <c r="E4" s="2" t="inlineStr">
        <is>
          <t>T1</t>
        </is>
      </c>
      <c r="F4" s="2" t="inlineStr">
        <is>
          <t>BCA fit, 30 Sep assay (adopted 2026-10-16)</t>
        </is>
      </c>
      <c r="G4" s="2">
        <f> f_mob for FGF2-G3; remainder stays in the gel. 0.31 +/- 0.07 (SE): least-squares fit of f_rel x Crank to the 30-min BCA read (G03). Was 0.15 (team estimate). Assay near its noise floor: confirm by release assay to completion on a log time grid.</f>
        <v/>
      </c>
    </row>
    <row r="5">
      <c r="A5" s="2" t="inlineStr">
        <is>
          <t>V14 loading in the gel</t>
        </is>
      </c>
      <c r="B5" s="2" t="inlineStr">
        <is>
          <t>C_V_load</t>
        </is>
      </c>
      <c r="C5" s="2" t="n">
        <v>2213.1</v>
      </c>
      <c r="D5" s="2" t="inlineStr">
        <is>
          <t>uM</t>
        </is>
      </c>
      <c r="E5" s="2" t="inlineStr">
        <is>
          <t>T1</t>
        </is>
      </c>
      <c r="F5" s="2" t="inlineStr">
        <is>
          <t>team design (2026-10-16)</t>
        </is>
      </c>
      <c r="G5" s="2" t="inlineStr">
        <is>
          <t>3 mg/mL total = 2213 uM; mobile (free) loading = f_rel_V x this = 1107 uM. Loaded at the solubility lower bound.</t>
        </is>
      </c>
    </row>
    <row r="6">
      <c r="A6" s="2" t="inlineStr">
        <is>
          <t>FGF2-G3 loading in the gel</t>
        </is>
      </c>
      <c r="B6" s="2" t="inlineStr">
        <is>
          <t>C_F_load</t>
        </is>
      </c>
      <c r="C6" s="2" t="n">
        <v>200</v>
      </c>
      <c r="D6" s="2" t="inlineStr">
        <is>
          <t>ng/mL</t>
        </is>
      </c>
      <c r="E6" s="2" t="inlineStr">
        <is>
          <t>T1</t>
        </is>
      </c>
      <c r="F6" s="2" t="inlineStr">
        <is>
          <t>team design (2026-10-16)</t>
        </is>
      </c>
      <c r="G6" s="2" t="inlineStr">
        <is>
          <t>200 ng/mL total = 12.1 nM; mobile = f_rel_F x this = 62 ng/mL. Closure treated state requires tissue FGF2-G3 &gt;= EC50_F (0.5 ng/mL) over the top delta.</t>
        </is>
      </c>
    </row>
    <row r="7">
      <c r="A7" s="2" t="inlineStr">
        <is>
          <t>Dressing-change interval</t>
        </is>
      </c>
      <c r="B7" s="2" t="inlineStr">
        <is>
          <t>reapply_interval_d</t>
        </is>
      </c>
      <c r="C7" s="2" t="n">
        <v>1</v>
      </c>
      <c r="D7" s="2" t="inlineStr">
        <is>
          <t>d</t>
        </is>
      </c>
      <c r="E7" s="2" t="inlineStr">
        <is>
          <t>T4</t>
        </is>
      </c>
      <c r="F7" s="2" t="inlineStr">
        <is>
          <t>standard clinical practice (daily dressing changes)</t>
        </is>
      </c>
      <c r="G7" s="2" t="inlineStr">
        <is>
          <t>protocol knob for reapplication scenarios; see Model 7 (dressing interval set by coverage per patch). UPDATED 2026-10-16 for the 2.5 mm / 3 mg/mL design.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8" customWidth="1" min="4" max="4"/>
    <col width="7" customWidth="1" min="5" max="5"/>
    <col width="52" customWidth="1" min="6" max="6"/>
    <col width="60" customWidth="1" min="7" max="7"/>
  </cols>
  <sheetData>
    <row r="1">
      <c r="A1" s="1" t="inlineStr">
        <is>
          <t>parameter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tier</t>
        </is>
      </c>
      <c r="F1" s="1" t="inlineStr">
        <is>
          <t>source (link)</t>
        </is>
      </c>
      <c r="G1" s="1" t="inlineStr">
        <is>
          <t>notes / justification</t>
        </is>
      </c>
    </row>
    <row r="2">
      <c r="A2" s="2" t="inlineStr">
        <is>
          <t>Cellulose thickness</t>
        </is>
      </c>
      <c r="B2" s="2" t="inlineStr">
        <is>
          <t>L_c</t>
        </is>
      </c>
      <c r="C2" s="2" t="n">
        <v>0.005</v>
      </c>
      <c r="D2" s="2" t="inlineStr">
        <is>
          <t>cm</t>
        </is>
      </c>
      <c r="E2" s="2" t="inlineStr">
        <is>
          <t>T1</t>
        </is>
      </c>
      <c r="F2" s="2" t="inlineStr">
        <is>
          <t>parameter table</t>
        </is>
      </c>
      <c r="G2" s="2" t="inlineStr">
        <is>
          <t>living-chassis layer; NOT used in the acellular V3 model (learning cycle only)</t>
        </is>
      </c>
    </row>
    <row r="3">
      <c r="A3" s="2" t="inlineStr">
        <is>
          <t>Cellulose porosity</t>
        </is>
      </c>
      <c r="B3" s="2" t="inlineStr">
        <is>
          <t>eps_c</t>
        </is>
      </c>
      <c r="C3" s="2" t="n">
        <v>0.9399999999999999</v>
      </c>
      <c r="D3" s="2" t="inlineStr">
        <is>
          <t>-</t>
        </is>
      </c>
      <c r="E3" s="2" t="inlineStr">
        <is>
          <t>T3</t>
        </is>
      </c>
      <c r="F3" s="2" t="inlineStr">
        <is>
          <t>https://www.researchgate.net/publication/222242948_Permeability_of_bacterial_cellulose_membranes</t>
        </is>
      </c>
      <c r="G3" s="2" t="inlineStr">
        <is>
          <t>same</t>
        </is>
      </c>
    </row>
    <row r="4">
      <c r="A4" s="2" t="inlineStr">
        <is>
          <t>Cellulose tortuosity</t>
        </is>
      </c>
      <c r="B4" s="2" t="inlineStr">
        <is>
          <t>tau_c</t>
        </is>
      </c>
      <c r="C4" s="2" t="n">
        <v>1.03</v>
      </c>
      <c r="D4" s="2" t="inlineStr">
        <is>
          <t>-</t>
        </is>
      </c>
      <c r="E4" s="2" t="inlineStr">
        <is>
          <t>D</t>
        </is>
      </c>
      <c r="F4" s="2" t="inlineStr">
        <is>
          <t>Bruggeman</t>
        </is>
      </c>
      <c r="G4" s="2" t="inlineStr">
        <is>
          <t>same</t>
        </is>
      </c>
    </row>
    <row r="5">
      <c r="A5" s="2" t="inlineStr">
        <is>
          <t>NorR background activity</t>
        </is>
      </c>
      <c r="B5" s="2" t="inlineStr">
        <is>
          <t>alpha_0</t>
        </is>
      </c>
      <c r="C5" s="2" t="n">
        <v>0.0004</v>
      </c>
      <c r="D5" s="2" t="inlineStr">
        <is>
          <t>-</t>
        </is>
      </c>
      <c r="E5" s="2" t="inlineStr">
        <is>
          <t>T3</t>
        </is>
      </c>
      <c r="F5" s="2" t="inlineStr">
        <is>
          <t>https://www.jbc.org/action/showPdf?pii=S0021-9258%2819%2932480-9</t>
        </is>
      </c>
      <c r="G5" s="2" t="inlineStr">
        <is>
          <t>legacy sensing module</t>
        </is>
      </c>
    </row>
    <row r="6">
      <c r="A6" s="2" t="inlineStr">
        <is>
          <t>NorR half-maximal NO</t>
        </is>
      </c>
      <c r="B6" s="2" t="inlineStr">
        <is>
          <t>K_A</t>
        </is>
      </c>
      <c r="C6" s="2" t="n">
        <v>5e-11</v>
      </c>
      <c r="D6" s="2" t="inlineStr">
        <is>
          <t>mol/cm3</t>
        </is>
      </c>
      <c r="E6" s="2" t="inlineStr">
        <is>
          <t>T3</t>
        </is>
      </c>
      <c r="F6" s="2" t="inlineStr">
        <is>
          <t>same JBC</t>
        </is>
      </c>
      <c r="G6" s="2" t="inlineStr">
        <is>
          <t>legacy</t>
        </is>
      </c>
    </row>
    <row r="7">
      <c r="A7" s="2" t="inlineStr">
        <is>
          <t>NorR Hill coefficient</t>
        </is>
      </c>
      <c r="B7" s="2" t="inlineStr">
        <is>
          <t>n_NorR</t>
        </is>
      </c>
      <c r="C7" s="2" t="n">
        <v>3</v>
      </c>
      <c r="D7" s="2" t="inlineStr">
        <is>
          <t>-</t>
        </is>
      </c>
      <c r="E7" s="2" t="inlineStr">
        <is>
          <t>T3</t>
        </is>
      </c>
      <c r="F7" s="2" t="inlineStr">
        <is>
          <t>3 essential enhancer sites (Tucker 2009)</t>
        </is>
      </c>
      <c r="G7" s="2" t="inlineStr">
        <is>
          <t>legacy</t>
        </is>
      </c>
    </row>
    <row r="8">
      <c r="A8" s="2" t="inlineStr">
        <is>
          <t>mRNA degradation</t>
        </is>
      </c>
      <c r="B8" s="2" t="inlineStr">
        <is>
          <t>k_deg_m</t>
        </is>
      </c>
      <c r="C8" s="2" t="n">
        <v>0.0021</v>
      </c>
      <c r="D8" s="2" t="inlineStr">
        <is>
          <t>1/s</t>
        </is>
      </c>
      <c r="E8" s="2" t="inlineStr">
        <is>
          <t>T3</t>
        </is>
      </c>
      <c r="F8" s="2" t="inlineStr">
        <is>
          <t>https://pmc.ncbi.nlm.nih.gov/articles/PMC124983/</t>
        </is>
      </c>
      <c r="G8" s="2" t="inlineStr">
        <is>
          <t>mRNA t1/2 5.5 min; legacy</t>
        </is>
      </c>
    </row>
    <row r="9">
      <c r="A9" s="2" t="inlineStr">
        <is>
          <t>Max transcription rate</t>
        </is>
      </c>
      <c r="B9" s="2" t="inlineStr">
        <is>
          <t>v_transcription_max</t>
        </is>
      </c>
      <c r="C9" s="2" t="n">
        <v>3.6</v>
      </c>
      <c r="D9" s="2" t="inlineStr">
        <is>
          <t>mRNA/cell/s</t>
        </is>
      </c>
      <c r="E9" s="2" t="inlineStr">
        <is>
          <t>T3</t>
        </is>
      </c>
      <c r="F9" s="2" t="inlineStr">
        <is>
          <t>https://www.sciencedirect.com/science/article/abs/pii/0022283677902790</t>
        </is>
      </c>
      <c r="G9" s="2" t="inlineStr">
        <is>
          <t>3.3 s initiation interval; legacy</t>
        </is>
      </c>
    </row>
    <row r="10">
      <c r="A10" s="2" t="inlineStr">
        <is>
          <t>Translation rate</t>
        </is>
      </c>
      <c r="B10" s="2" t="inlineStr">
        <is>
          <t>k_translation</t>
        </is>
      </c>
      <c r="C10" s="2" t="n">
        <v>0.11</v>
      </c>
      <c r="D10" s="2" t="inlineStr">
        <is>
          <t>1/s</t>
        </is>
      </c>
      <c r="E10" s="2" t="inlineStr">
        <is>
          <t>T3</t>
        </is>
      </c>
      <c r="F10" s="2" t="inlineStr">
        <is>
          <t>https://pmc.ncbi.nlm.nih.gov/articles/PMC2475643/</t>
        </is>
      </c>
      <c r="G10" s="2" t="inlineStr">
        <is>
          <t>legacy</t>
        </is>
      </c>
    </row>
    <row r="11">
      <c r="A11" s="2" t="inlineStr">
        <is>
          <t>Secretion rate</t>
        </is>
      </c>
      <c r="B11" s="2" t="inlineStr">
        <is>
          <t>k_secretion</t>
        </is>
      </c>
      <c r="C11" s="2" t="n">
        <v>0.08</v>
      </c>
      <c r="D11" s="2" t="inlineStr">
        <is>
          <t>1/s</t>
        </is>
      </c>
      <c r="E11" s="2" t="inlineStr">
        <is>
          <t>T4</t>
        </is>
      </c>
      <c r="F11" s="2" t="inlineStr">
        <is>
          <t>https://pmc.ncbi.nlm.nih.gov/articles/PMC2475643/</t>
        </is>
      </c>
      <c r="G11" s="2" t="inlineStr">
        <is>
          <t>HlyA ~0.05-0.15 /s, 16 aa/s / 200 aa; legacy</t>
        </is>
      </c>
    </row>
    <row r="12">
      <c r="A12" s="2" t="inlineStr">
        <is>
          <t>Peptide degradation (N-end rule)</t>
        </is>
      </c>
      <c r="B12" s="2" t="inlineStr">
        <is>
          <t>k_deg_p</t>
        </is>
      </c>
      <c r="C12" s="2" t="inlineStr">
        <is>
          <t>ln2/1.9h</t>
        </is>
      </c>
      <c r="D12" s="2" t="inlineStr">
        <is>
          <t>1/s</t>
        </is>
      </c>
      <c r="E12" s="2" t="inlineStr">
        <is>
          <t>T3</t>
        </is>
      </c>
      <c r="F12" s="2" t="inlineStr">
        <is>
          <t>https://web.expasy.org/protparam/</t>
        </is>
      </c>
      <c r="G12" s="2" t="inlineStr">
        <is>
          <t>mammalian reticulocytes, intracellular; legacy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2026-10-08T18:23:21Z</dcterms:created>
  <dcterms:modified xsi:type="dcterms:W3CDTF">2026-10-16T01:26:10Z</dcterms:modified>
</cp:coreProperties>
</file>